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es/Desktop/Digitalization/"/>
    </mc:Choice>
  </mc:AlternateContent>
  <xr:revisionPtr revIDLastSave="0" documentId="13_ncr:1_{74D04991-CD22-5449-8BE7-028FD14313BA}" xr6:coauthVersionLast="47" xr6:coauthVersionMax="47" xr10:uidLastSave="{00000000-0000-0000-0000-000000000000}"/>
  <bookViews>
    <workbookView xWindow="280" yWindow="500" windowWidth="28240" windowHeight="16380" xr2:uid="{6B1AEA13-8B22-D145-8CD7-80375A8E57B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" i="1" l="1"/>
  <c r="N40" i="1" s="1"/>
  <c r="N38" i="1"/>
  <c r="N37" i="1"/>
  <c r="N32" i="1"/>
</calcChain>
</file>

<file path=xl/sharedStrings.xml><?xml version="1.0" encoding="utf-8"?>
<sst xmlns="http://schemas.openxmlformats.org/spreadsheetml/2006/main" count="56" uniqueCount="56">
  <si>
    <t>Marketingplan für SmartShift</t>
  </si>
  <si>
    <t xml:space="preserve">Ziele und Annahmen </t>
  </si>
  <si>
    <t>Hauptregion: Münchner Osten (Riem, Trudering, Berg am Laim)</t>
  </si>
  <si>
    <t xml:space="preserve">Fokus-ZG: Anwohner in den Fokusregionen </t>
  </si>
  <si>
    <t xml:space="preserve">in Apartments wohnend, Alter: 28-55, Interesse an E-Autos </t>
  </si>
  <si>
    <t>Jan</t>
  </si>
  <si>
    <t>Feb</t>
  </si>
  <si>
    <t>Mrz</t>
  </si>
  <si>
    <t>Apr</t>
  </si>
  <si>
    <t>Mai</t>
  </si>
  <si>
    <t>Umsatz pro Monat</t>
  </si>
  <si>
    <t>Jun</t>
  </si>
  <si>
    <t>Jul</t>
  </si>
  <si>
    <t>Aug</t>
  </si>
  <si>
    <t>Sep</t>
  </si>
  <si>
    <t>Okt</t>
  </si>
  <si>
    <t>Nov</t>
  </si>
  <si>
    <t>Dez</t>
  </si>
  <si>
    <t>Jahr 1</t>
  </si>
  <si>
    <t>Gesamt</t>
  </si>
  <si>
    <t>Maßnahmen und Budgetaufteilung</t>
  </si>
  <si>
    <t xml:space="preserve">Maßnahme </t>
  </si>
  <si>
    <t>Ziel</t>
  </si>
  <si>
    <t>Messe Aufsteller</t>
  </si>
  <si>
    <t>Sichtbarkeit, Networking, Neukunden Aquise</t>
  </si>
  <si>
    <t>3000-5000€</t>
  </si>
  <si>
    <t>Kommentar</t>
  </si>
  <si>
    <t xml:space="preserve">Standkosten, Material, Flyer </t>
  </si>
  <si>
    <t>IAA Mobility Messe Sep.26 / Autotage München</t>
  </si>
  <si>
    <t>Flyer/Koop. mit lokalen Autohäusern</t>
  </si>
  <si>
    <t>Zugang zu E-Auto Interessenten in Zielregion</t>
  </si>
  <si>
    <t>1000-1500€</t>
  </si>
  <si>
    <t>SEA: Google + Meta Ads</t>
  </si>
  <si>
    <t>Online Reichweite, App Downloads, Anfragen</t>
  </si>
  <si>
    <t>6000-7000€</t>
  </si>
  <si>
    <t>Jahresbudget</t>
  </si>
  <si>
    <t>Social Media TT und IG</t>
  </si>
  <si>
    <t>Organische Reichweite, Markenaufbau, Giveaways</t>
  </si>
  <si>
    <t>östliches München, Wasserburger Landstraße</t>
  </si>
  <si>
    <t>an ZG orientieren</t>
  </si>
  <si>
    <t>nur Zeitaufwand nötig</t>
  </si>
  <si>
    <t xml:space="preserve">Lokale PR/ Zeitung etc. </t>
  </si>
  <si>
    <t>Vertrauen gewinnen, Reichweite in Zielregion</t>
  </si>
  <si>
    <t>500-1000€</t>
  </si>
  <si>
    <t>Bsp: Autohaus Hemmerle, Automag GmBH</t>
  </si>
  <si>
    <t>Reserve und Tests</t>
  </si>
  <si>
    <t>Optimierungen und Lernkurven</t>
  </si>
  <si>
    <t>Marketingkosten</t>
  </si>
  <si>
    <t xml:space="preserve">Messe </t>
  </si>
  <si>
    <t>Flyer</t>
  </si>
  <si>
    <t>Google/Meta ADS</t>
  </si>
  <si>
    <t xml:space="preserve">PR/Zeitung </t>
  </si>
  <si>
    <t xml:space="preserve">Reserve Tests </t>
  </si>
  <si>
    <t xml:space="preserve">Gesamt Kosten Marketing </t>
  </si>
  <si>
    <t xml:space="preserve">Hinweis: </t>
  </si>
  <si>
    <t xml:space="preserve">Die eingetragenen Zahlen, dienen nur als Orientierung, die fixen Daten sind in der anderen Excel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</si>
</sst>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8" formatCode="#,##0.00\ &quot;€&quot;;[Red]\-#,##0.00\ &quot;€&quot;"/>
    <numFmt numFmtId="164" formatCode="#,##0.00\ &quot;€&quot;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3" fillId="0" borderId="0" xfId="0" applyFont="1" applyAlignment="1">
      <alignment horizontal="center" vertical="center"/>
    </xf>
    <xf numFmtId="8" fontId="3" fillId="0" borderId="0" xfId="0" applyNumberFormat="1" applyFont="1" applyAlignment="1">
      <alignment horizontal="center"/>
    </xf>
    <xf numFmtId="0" fontId="2" fillId="2" borderId="5" xfId="0" applyFont="1" applyFill="1" applyBorder="1"/>
    <xf numFmtId="0" fontId="3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8" fontId="2" fillId="0" borderId="10" xfId="0" applyNumberFormat="1" applyFont="1" applyBorder="1"/>
    <xf numFmtId="8" fontId="3" fillId="0" borderId="1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9" xfId="0" applyFont="1" applyFill="1" applyBorder="1"/>
    <xf numFmtId="8" fontId="2" fillId="0" borderId="20" xfId="0" applyNumberFormat="1" applyFont="1" applyBorder="1"/>
    <xf numFmtId="0" fontId="3" fillId="0" borderId="4" xfId="0" applyFont="1" applyBorder="1"/>
    <xf numFmtId="0" fontId="2" fillId="0" borderId="21" xfId="0" applyFont="1" applyBorder="1"/>
    <xf numFmtId="0" fontId="3" fillId="0" borderId="9" xfId="0" applyFont="1" applyBorder="1"/>
    <xf numFmtId="6" fontId="0" fillId="0" borderId="1" xfId="0" applyNumberFormat="1" applyBorder="1"/>
    <xf numFmtId="0" fontId="2" fillId="0" borderId="3" xfId="0" applyFont="1" applyBorder="1"/>
    <xf numFmtId="0" fontId="2" fillId="0" borderId="2" xfId="0" applyFont="1" applyBorder="1"/>
    <xf numFmtId="0" fontId="3" fillId="0" borderId="22" xfId="0" applyFont="1" applyBorder="1"/>
    <xf numFmtId="0" fontId="1" fillId="0" borderId="23" xfId="0" applyFont="1" applyBorder="1"/>
    <xf numFmtId="164" fontId="3" fillId="0" borderId="24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6" fontId="2" fillId="0" borderId="1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/>
    <xf numFmtId="0" fontId="2" fillId="0" borderId="0" xfId="0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7B70-DC71-0743-BF09-D21EA10904E6}">
  <dimension ref="A1:O40"/>
  <sheetViews>
    <sheetView showGridLines="0" tabSelected="1" topLeftCell="A6" zoomScale="84" workbookViewId="0">
      <selection activeCell="B27" sqref="B27"/>
    </sheetView>
  </sheetViews>
  <sheetFormatPr baseColWidth="10" defaultRowHeight="16" x14ac:dyDescent="0.2"/>
  <cols>
    <col min="1" max="1" width="43.33203125" customWidth="1"/>
    <col min="2" max="2" width="11" customWidth="1"/>
    <col min="3" max="3" width="11.33203125" customWidth="1"/>
    <col min="4" max="4" width="23.33203125" customWidth="1"/>
    <col min="5" max="5" width="11.6640625" customWidth="1"/>
    <col min="6" max="6" width="11.5" customWidth="1"/>
    <col min="7" max="7" width="13.5" customWidth="1"/>
    <col min="8" max="8" width="12" customWidth="1"/>
    <col min="9" max="9" width="12.1640625" customWidth="1"/>
    <col min="10" max="10" width="13" customWidth="1"/>
    <col min="11" max="11" width="11.83203125" customWidth="1"/>
    <col min="12" max="12" width="12" customWidth="1"/>
    <col min="13" max="13" width="11.83203125" customWidth="1"/>
    <col min="14" max="14" width="19.5" customWidth="1"/>
    <col min="15" max="15" width="17.33203125" customWidth="1"/>
  </cols>
  <sheetData>
    <row r="1" spans="1:15" x14ac:dyDescent="0.2">
      <c r="A1" s="45" t="s">
        <v>0</v>
      </c>
      <c r="B1" s="45"/>
      <c r="C1" s="45"/>
      <c r="D1" s="45"/>
      <c r="E1" s="45"/>
      <c r="F1" s="45"/>
    </row>
    <row r="2" spans="1:15" x14ac:dyDescent="0.2">
      <c r="A2" s="45"/>
      <c r="B2" s="45"/>
      <c r="C2" s="45"/>
      <c r="D2" s="45"/>
      <c r="E2" s="45"/>
      <c r="F2" s="45"/>
    </row>
    <row r="5" spans="1:15" x14ac:dyDescent="0.2">
      <c r="A5" s="46" t="s">
        <v>1</v>
      </c>
      <c r="B5" s="46"/>
      <c r="C5" s="46"/>
      <c r="D5" s="46"/>
      <c r="E5" s="46"/>
      <c r="F5" s="46"/>
    </row>
    <row r="7" spans="1:15" x14ac:dyDescent="0.2">
      <c r="A7" s="36" t="s">
        <v>2</v>
      </c>
      <c r="B7" s="36"/>
      <c r="C7" s="36"/>
      <c r="D7" s="36"/>
      <c r="E7" s="36"/>
      <c r="F7" s="36"/>
    </row>
    <row r="8" spans="1:15" x14ac:dyDescent="0.2">
      <c r="A8" s="36"/>
      <c r="B8" s="36"/>
      <c r="C8" s="36"/>
      <c r="D8" s="36"/>
      <c r="E8" s="36"/>
      <c r="F8" s="36"/>
    </row>
    <row r="9" spans="1:15" x14ac:dyDescent="0.2">
      <c r="A9" s="47" t="s">
        <v>3</v>
      </c>
      <c r="B9" s="47"/>
      <c r="C9" s="47"/>
      <c r="D9" s="47"/>
      <c r="E9" s="47"/>
      <c r="F9" s="47"/>
    </row>
    <row r="10" spans="1:15" x14ac:dyDescent="0.2">
      <c r="A10" s="36" t="s">
        <v>4</v>
      </c>
      <c r="B10" s="36"/>
      <c r="C10" s="36"/>
      <c r="D10" s="36"/>
      <c r="E10" s="36"/>
      <c r="F10" s="36"/>
    </row>
    <row r="11" spans="1:15" x14ac:dyDescent="0.2">
      <c r="A11" s="36"/>
      <c r="B11" s="36"/>
      <c r="C11" s="36"/>
      <c r="D11" s="36"/>
      <c r="E11" s="36"/>
      <c r="F11" s="36"/>
    </row>
    <row r="12" spans="1:15" x14ac:dyDescent="0.2">
      <c r="A12" s="36"/>
      <c r="B12" s="36"/>
      <c r="C12" s="36"/>
      <c r="D12" s="36"/>
      <c r="E12" s="36"/>
      <c r="F12" s="36"/>
    </row>
    <row r="13" spans="1:15" ht="17" thickBot="1" x14ac:dyDescent="0.25"/>
    <row r="14" spans="1:15" ht="17" thickBot="1" x14ac:dyDescent="0.25">
      <c r="A14" s="42" t="s">
        <v>20</v>
      </c>
      <c r="B14" s="43"/>
      <c r="C14" s="43"/>
      <c r="D14" s="43"/>
      <c r="E14" s="43"/>
      <c r="F14" s="44"/>
    </row>
    <row r="15" spans="1:15" x14ac:dyDescent="0.2">
      <c r="O15" s="6"/>
    </row>
    <row r="16" spans="1:15" x14ac:dyDescent="0.2">
      <c r="A16" s="14" t="s">
        <v>21</v>
      </c>
      <c r="B16" s="41" t="s">
        <v>22</v>
      </c>
      <c r="C16" s="41"/>
      <c r="D16" s="41"/>
      <c r="E16" s="41" t="s">
        <v>35</v>
      </c>
      <c r="F16" s="41"/>
      <c r="H16" s="37" t="s">
        <v>26</v>
      </c>
      <c r="I16" s="37"/>
      <c r="J16" s="37"/>
      <c r="K16" s="37"/>
      <c r="L16" s="37"/>
      <c r="M16" s="37"/>
      <c r="N16" s="37"/>
      <c r="O16" s="1"/>
    </row>
    <row r="17" spans="1:15" x14ac:dyDescent="0.2">
      <c r="A17" s="40"/>
      <c r="B17" s="40"/>
      <c r="C17" s="40"/>
      <c r="D17" s="40"/>
      <c r="E17" s="40"/>
      <c r="F17" s="40"/>
      <c r="O17" s="7"/>
    </row>
    <row r="18" spans="1:15" x14ac:dyDescent="0.2">
      <c r="A18" s="5" t="s">
        <v>23</v>
      </c>
      <c r="B18" s="38" t="s">
        <v>24</v>
      </c>
      <c r="C18" s="38"/>
      <c r="D18" s="38"/>
      <c r="E18" s="38" t="s">
        <v>25</v>
      </c>
      <c r="F18" s="38"/>
      <c r="H18" s="29" t="s">
        <v>27</v>
      </c>
      <c r="I18" s="29"/>
      <c r="J18" s="29"/>
      <c r="K18" s="29"/>
      <c r="L18" s="29" t="s">
        <v>28</v>
      </c>
      <c r="M18" s="29"/>
      <c r="N18" s="29"/>
    </row>
    <row r="19" spans="1:15" x14ac:dyDescent="0.2">
      <c r="A19" s="5" t="s">
        <v>29</v>
      </c>
      <c r="B19" s="38" t="s">
        <v>30</v>
      </c>
      <c r="C19" s="38"/>
      <c r="D19" s="38"/>
      <c r="E19" s="38" t="s">
        <v>31</v>
      </c>
      <c r="F19" s="38"/>
      <c r="H19" s="30" t="s">
        <v>38</v>
      </c>
      <c r="I19" s="31"/>
      <c r="J19" s="31"/>
      <c r="K19" s="32"/>
      <c r="L19" s="30" t="s">
        <v>44</v>
      </c>
      <c r="M19" s="31"/>
      <c r="N19" s="32"/>
    </row>
    <row r="20" spans="1:15" x14ac:dyDescent="0.2">
      <c r="A20" s="5" t="s">
        <v>32</v>
      </c>
      <c r="B20" s="38" t="s">
        <v>33</v>
      </c>
      <c r="C20" s="38"/>
      <c r="D20" s="38"/>
      <c r="E20" s="38" t="s">
        <v>34</v>
      </c>
      <c r="F20" s="38"/>
      <c r="H20" s="29" t="s">
        <v>39</v>
      </c>
      <c r="I20" s="29"/>
      <c r="J20" s="29"/>
      <c r="K20" s="29"/>
      <c r="L20" s="30"/>
      <c r="M20" s="31"/>
      <c r="N20" s="32"/>
    </row>
    <row r="21" spans="1:15" x14ac:dyDescent="0.2">
      <c r="A21" s="5" t="s">
        <v>36</v>
      </c>
      <c r="B21" s="38" t="s">
        <v>37</v>
      </c>
      <c r="C21" s="38"/>
      <c r="D21" s="38"/>
      <c r="E21" s="39">
        <v>0</v>
      </c>
      <c r="F21" s="38"/>
      <c r="H21" s="29" t="s">
        <v>40</v>
      </c>
      <c r="I21" s="29"/>
      <c r="J21" s="29"/>
      <c r="K21" s="29"/>
      <c r="L21" s="30"/>
      <c r="M21" s="31"/>
      <c r="N21" s="32"/>
    </row>
    <row r="22" spans="1:15" x14ac:dyDescent="0.2">
      <c r="A22" s="5" t="s">
        <v>41</v>
      </c>
      <c r="B22" s="38" t="s">
        <v>42</v>
      </c>
      <c r="C22" s="38"/>
      <c r="D22" s="38"/>
      <c r="E22" s="38" t="s">
        <v>43</v>
      </c>
      <c r="F22" s="38"/>
      <c r="H22" s="29"/>
      <c r="I22" s="29"/>
      <c r="J22" s="29"/>
      <c r="K22" s="29"/>
      <c r="L22" s="30"/>
      <c r="M22" s="31"/>
      <c r="N22" s="32"/>
    </row>
    <row r="23" spans="1:15" x14ac:dyDescent="0.2">
      <c r="A23" s="5" t="s">
        <v>45</v>
      </c>
      <c r="B23" s="38" t="s">
        <v>46</v>
      </c>
      <c r="C23" s="38"/>
      <c r="D23" s="38"/>
      <c r="E23" s="39">
        <v>1000</v>
      </c>
      <c r="F23" s="38"/>
      <c r="H23" s="29"/>
      <c r="I23" s="29"/>
      <c r="J23" s="29"/>
      <c r="K23" s="29"/>
      <c r="L23" s="30"/>
      <c r="M23" s="31"/>
      <c r="N23" s="32"/>
    </row>
    <row r="24" spans="1:15" x14ac:dyDescent="0.2">
      <c r="A24" s="1"/>
      <c r="B24" s="36"/>
      <c r="C24" s="36"/>
      <c r="D24" s="36"/>
      <c r="E24" s="36"/>
      <c r="F24" s="36"/>
    </row>
    <row r="25" spans="1:15" x14ac:dyDescent="0.2">
      <c r="A25" s="1"/>
      <c r="B25" s="36"/>
      <c r="C25" s="36"/>
      <c r="D25" s="36"/>
      <c r="E25" s="36"/>
      <c r="F25" s="36"/>
    </row>
    <row r="26" spans="1:15" x14ac:dyDescent="0.2">
      <c r="A26" s="1"/>
      <c r="B26" s="36"/>
      <c r="C26" s="36"/>
      <c r="D26" s="36"/>
      <c r="E26" s="36"/>
      <c r="F26" s="36"/>
    </row>
    <row r="27" spans="1:15" x14ac:dyDescent="0.2">
      <c r="A27" s="48" t="s">
        <v>54</v>
      </c>
      <c r="B27" s="49" t="s">
        <v>55</v>
      </c>
      <c r="C27" s="50"/>
      <c r="D27" s="50"/>
      <c r="E27" s="50"/>
      <c r="F27" s="50"/>
    </row>
    <row r="29" spans="1:15" ht="17" thickBot="1" x14ac:dyDescent="0.25"/>
    <row r="30" spans="1:15" x14ac:dyDescent="0.2">
      <c r="A30" s="17" t="s">
        <v>18</v>
      </c>
      <c r="B30" s="15" t="s">
        <v>5</v>
      </c>
      <c r="C30" s="8" t="s">
        <v>6</v>
      </c>
      <c r="D30" s="8" t="s">
        <v>7</v>
      </c>
      <c r="E30" s="8" t="s">
        <v>8</v>
      </c>
      <c r="F30" s="8" t="s">
        <v>9</v>
      </c>
      <c r="G30" s="8" t="s">
        <v>11</v>
      </c>
      <c r="H30" s="8" t="s">
        <v>12</v>
      </c>
      <c r="I30" s="8" t="s">
        <v>13</v>
      </c>
      <c r="J30" s="8" t="s">
        <v>14</v>
      </c>
      <c r="K30" s="8" t="s">
        <v>15</v>
      </c>
      <c r="L30" s="8" t="s">
        <v>16</v>
      </c>
      <c r="M30" s="8" t="s">
        <v>17</v>
      </c>
      <c r="N30" s="9" t="s">
        <v>19</v>
      </c>
    </row>
    <row r="31" spans="1:15" x14ac:dyDescent="0.2">
      <c r="A31" s="18"/>
      <c r="B31" s="10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11"/>
    </row>
    <row r="32" spans="1:15" ht="17" thickBot="1" x14ac:dyDescent="0.25">
      <c r="A32" s="19" t="s">
        <v>10</v>
      </c>
      <c r="B32" s="16">
        <v>292.5</v>
      </c>
      <c r="C32" s="12">
        <v>479.97</v>
      </c>
      <c r="D32" s="12">
        <v>667.43</v>
      </c>
      <c r="E32" s="12">
        <v>854.9</v>
      </c>
      <c r="F32" s="12">
        <v>1042.3599999999999</v>
      </c>
      <c r="G32" s="12">
        <v>1229.83</v>
      </c>
      <c r="H32" s="12">
        <v>1417.3</v>
      </c>
      <c r="I32" s="12">
        <v>1604.76</v>
      </c>
      <c r="J32" s="12">
        <v>1792.23</v>
      </c>
      <c r="K32" s="12">
        <v>1979.69</v>
      </c>
      <c r="L32" s="12">
        <v>2167.16</v>
      </c>
      <c r="M32" s="12">
        <v>2354.63</v>
      </c>
      <c r="N32" s="13">
        <f>SUM(B32:M32)</f>
        <v>15882.760000000002</v>
      </c>
    </row>
    <row r="33" spans="1:14" ht="17" thickBot="1" x14ac:dyDescent="0.25"/>
    <row r="34" spans="1:14" ht="17" thickBot="1" x14ac:dyDescent="0.25">
      <c r="A34" s="33" t="s">
        <v>47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5"/>
    </row>
    <row r="35" spans="1:14" x14ac:dyDescent="0.2">
      <c r="A35" s="21" t="s">
        <v>48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26">
        <v>5000</v>
      </c>
    </row>
    <row r="36" spans="1:14" x14ac:dyDescent="0.2">
      <c r="A36" s="5" t="s">
        <v>49</v>
      </c>
      <c r="B36" s="20">
        <v>1500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7">
        <f>SUM(B36:M36)</f>
        <v>1500</v>
      </c>
    </row>
    <row r="37" spans="1:14" x14ac:dyDescent="0.2">
      <c r="A37" s="5" t="s">
        <v>50</v>
      </c>
      <c r="B37" s="20">
        <v>500</v>
      </c>
      <c r="C37" s="20">
        <v>500</v>
      </c>
      <c r="D37" s="20">
        <v>500</v>
      </c>
      <c r="E37" s="20">
        <v>500</v>
      </c>
      <c r="F37" s="20">
        <v>500</v>
      </c>
      <c r="G37" s="20">
        <v>500</v>
      </c>
      <c r="H37" s="20">
        <v>500</v>
      </c>
      <c r="I37" s="20">
        <v>500</v>
      </c>
      <c r="J37" s="20">
        <v>500</v>
      </c>
      <c r="K37" s="20">
        <v>500</v>
      </c>
      <c r="L37" s="20">
        <v>500</v>
      </c>
      <c r="M37" s="20">
        <v>500</v>
      </c>
      <c r="N37" s="27">
        <f>SUM(B37:M37)</f>
        <v>6000</v>
      </c>
    </row>
    <row r="38" spans="1:14" x14ac:dyDescent="0.2">
      <c r="A38" s="5" t="s">
        <v>51</v>
      </c>
      <c r="B38" s="20">
        <v>500</v>
      </c>
      <c r="C38" s="20">
        <v>500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7">
        <f>SUM(B38:C38)</f>
        <v>1000</v>
      </c>
    </row>
    <row r="39" spans="1:14" ht="17" thickBot="1" x14ac:dyDescent="0.25">
      <c r="A39" s="22" t="s">
        <v>52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8">
        <v>1000</v>
      </c>
    </row>
    <row r="40" spans="1:14" ht="17" thickBot="1" x14ac:dyDescent="0.25">
      <c r="A40" s="23" t="s">
        <v>53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5">
        <f>SUM(N35:N39)</f>
        <v>14500</v>
      </c>
    </row>
  </sheetData>
  <mergeCells count="44">
    <mergeCell ref="A1:F2"/>
    <mergeCell ref="A5:F5"/>
    <mergeCell ref="A7:F7"/>
    <mergeCell ref="A8:F8"/>
    <mergeCell ref="A9:F9"/>
    <mergeCell ref="A10:F10"/>
    <mergeCell ref="A11:F11"/>
    <mergeCell ref="A12:F12"/>
    <mergeCell ref="B16:D16"/>
    <mergeCell ref="E16:F16"/>
    <mergeCell ref="A14:F14"/>
    <mergeCell ref="H18:K18"/>
    <mergeCell ref="H16:N16"/>
    <mergeCell ref="L18:N18"/>
    <mergeCell ref="B21:D21"/>
    <mergeCell ref="H19:K19"/>
    <mergeCell ref="H20:K20"/>
    <mergeCell ref="B20:D20"/>
    <mergeCell ref="E21:F21"/>
    <mergeCell ref="A17:F17"/>
    <mergeCell ref="B18:D18"/>
    <mergeCell ref="E18:F18"/>
    <mergeCell ref="B19:D19"/>
    <mergeCell ref="E19:F19"/>
    <mergeCell ref="E20:F20"/>
    <mergeCell ref="L19:N19"/>
    <mergeCell ref="L20:N20"/>
    <mergeCell ref="L21:N21"/>
    <mergeCell ref="L22:N22"/>
    <mergeCell ref="B24:D24"/>
    <mergeCell ref="E24:F24"/>
    <mergeCell ref="B25:D25"/>
    <mergeCell ref="E25:F25"/>
    <mergeCell ref="B26:D26"/>
    <mergeCell ref="E26:F26"/>
    <mergeCell ref="B22:D22"/>
    <mergeCell ref="E22:F22"/>
    <mergeCell ref="B23:D23"/>
    <mergeCell ref="E23:F23"/>
    <mergeCell ref="H23:K23"/>
    <mergeCell ref="L23:N23"/>
    <mergeCell ref="A34:N34"/>
    <mergeCell ref="H21:K21"/>
    <mergeCell ref="H22:K2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xxtherealaporedxx derechte</dc:creator>
  <cp:lastModifiedBy>xxtherealaporedxx derechte</cp:lastModifiedBy>
  <dcterms:created xsi:type="dcterms:W3CDTF">2025-12-05T07:37:37Z</dcterms:created>
  <dcterms:modified xsi:type="dcterms:W3CDTF">2026-01-04T11:51:24Z</dcterms:modified>
</cp:coreProperties>
</file>